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0" windowWidth="19200" windowHeight="12090"/>
  </bookViews>
  <sheets>
    <sheet name="Sheet1" sheetId="1" r:id="rId1"/>
    <sheet name="TestData" sheetId="2" r:id="rId2"/>
    <sheet name="Sheet3" sheetId="3" r:id="rId3"/>
  </sheets>
  <calcPr calcId="125725"/>
  <fileRecoveryPr repairLoad="1"/>
</workbook>
</file>

<file path=xl/calcChain.xml><?xml version="1.0" encoding="utf-8"?>
<calcChain xmlns="http://schemas.openxmlformats.org/spreadsheetml/2006/main">
  <c r="N27" i="3"/>
  <c r="F39" l="1"/>
  <c r="F38"/>
  <c r="D39"/>
  <c r="D38"/>
  <c r="D34"/>
  <c r="F34" s="1"/>
  <c r="D33"/>
  <c r="F33" s="1"/>
  <c r="F40" l="1"/>
  <c r="G40" s="1"/>
  <c r="H40" s="1"/>
  <c r="F35"/>
  <c r="G35" s="1"/>
  <c r="H35" s="1"/>
</calcChain>
</file>

<file path=xl/sharedStrings.xml><?xml version="1.0" encoding="utf-8"?>
<sst xmlns="http://schemas.openxmlformats.org/spreadsheetml/2006/main" count="67" uniqueCount="60">
  <si>
    <t>FileName</t>
    <phoneticPr fontId="1"/>
  </si>
  <si>
    <t>※Summary</t>
    <phoneticPr fontId="1"/>
  </si>
  <si>
    <t>ID</t>
    <phoneticPr fontId="1"/>
  </si>
  <si>
    <t>Status</t>
    <phoneticPr fontId="1"/>
  </si>
  <si>
    <t>ItemName</t>
    <phoneticPr fontId="1"/>
  </si>
  <si>
    <t>001</t>
    <phoneticPr fontId="1"/>
  </si>
  <si>
    <t>002</t>
  </si>
  <si>
    <t>003</t>
  </si>
  <si>
    <t>004</t>
  </si>
  <si>
    <t>005</t>
  </si>
  <si>
    <t>006</t>
  </si>
  <si>
    <t>007</t>
  </si>
  <si>
    <t>ItemA</t>
    <phoneticPr fontId="1"/>
  </si>
  <si>
    <t>ItemB</t>
    <phoneticPr fontId="1"/>
  </si>
  <si>
    <t>ItemC</t>
    <phoneticPr fontId="1"/>
  </si>
  <si>
    <t>ItemD</t>
    <phoneticPr fontId="1"/>
  </si>
  <si>
    <t>ItemE</t>
    <phoneticPr fontId="1"/>
  </si>
  <si>
    <t>ItemF</t>
    <phoneticPr fontId="1"/>
  </si>
  <si>
    <t>ItemG</t>
    <phoneticPr fontId="1"/>
  </si>
  <si>
    <t>■TableA</t>
    <phoneticPr fontId="1"/>
  </si>
  <si>
    <t>■TableB</t>
    <phoneticPr fontId="1"/>
  </si>
  <si>
    <t>※SummaryB</t>
    <phoneticPr fontId="1"/>
  </si>
  <si>
    <t>Status</t>
    <phoneticPr fontId="1"/>
  </si>
  <si>
    <t>1</t>
    <phoneticPr fontId="1"/>
  </si>
  <si>
    <t>2</t>
    <phoneticPr fontId="1"/>
  </si>
  <si>
    <t>3</t>
    <phoneticPr fontId="1"/>
  </si>
  <si>
    <t>StatusDetails</t>
    <phoneticPr fontId="1"/>
  </si>
  <si>
    <t>Nothing</t>
    <phoneticPr fontId="1"/>
  </si>
  <si>
    <t>Enable</t>
    <phoneticPr fontId="1"/>
  </si>
  <si>
    <t>DisEnable</t>
    <phoneticPr fontId="1"/>
  </si>
  <si>
    <t>Model</t>
  </si>
  <si>
    <t>Input</t>
  </si>
  <si>
    <t>Output</t>
  </si>
  <si>
    <t>gpt-4-1106-preview</t>
  </si>
  <si>
    <t>$0.01 / 1K tokens</t>
  </si>
  <si>
    <t>$0.03 / 1K tokens</t>
  </si>
  <si>
    <t>gpt-4-1106-vision-preview</t>
  </si>
  <si>
    <t>https://openai.com/pricing</t>
  </si>
  <si>
    <t>https://platform.openai.com/tokenizer</t>
  </si>
  <si>
    <t>質問34、回答574</t>
    <rPh sb="0" eb="2">
      <t>シツモン</t>
    </rPh>
    <rPh sb="5" eb="7">
      <t>カイトウ</t>
    </rPh>
    <phoneticPr fontId="1"/>
  </si>
  <si>
    <t>GPT-4 Turbo</t>
    <phoneticPr fontId="1"/>
  </si>
  <si>
    <t>GPT-3.5 Turbo</t>
    <phoneticPr fontId="1"/>
  </si>
  <si>
    <t>gpt-3.5-turbo-1106</t>
  </si>
  <si>
    <t>$0.0010 / 1K tokens</t>
  </si>
  <si>
    <t>$0.0020 / 1K tokens</t>
  </si>
  <si>
    <t>gpt-3.5-turbo-instruct</t>
  </si>
  <si>
    <t>$0.0015 / 1K tokens</t>
  </si>
  <si>
    <t>$0.01 / 1K tokens</t>
    <phoneticPr fontId="1"/>
  </si>
  <si>
    <t xml:space="preserve"> 1K tokens</t>
    <phoneticPr fontId="1"/>
  </si>
  <si>
    <t>tokens</t>
    <phoneticPr fontId="1"/>
  </si>
  <si>
    <t>1ドル</t>
    <phoneticPr fontId="1"/>
  </si>
  <si>
    <t>円</t>
    <rPh sb="0" eb="1">
      <t>エン</t>
    </rPh>
    <phoneticPr fontId="1"/>
  </si>
  <si>
    <t>$0.03 / 1K tokens</t>
    <phoneticPr fontId="1"/>
  </si>
  <si>
    <t>$/ 1K tokens</t>
    <phoneticPr fontId="1"/>
  </si>
  <si>
    <t>1質問/回答につき</t>
    <rPh sb="1" eb="3">
      <t>シツモン</t>
    </rPh>
    <rPh sb="4" eb="6">
      <t>カイトウ</t>
    </rPh>
    <phoneticPr fontId="1"/>
  </si>
  <si>
    <t>業務でわからないこと、補助してほしいことなどに使用すると仮定（1日100回）</t>
    <rPh sb="0" eb="2">
      <t>ギョウム</t>
    </rPh>
    <rPh sb="11" eb="13">
      <t>ホジョ</t>
    </rPh>
    <rPh sb="23" eb="25">
      <t>シヨウ</t>
    </rPh>
    <rPh sb="28" eb="30">
      <t>カテイ</t>
    </rPh>
    <rPh sb="32" eb="33">
      <t>ニチ</t>
    </rPh>
    <rPh sb="36" eb="37">
      <t>カイ</t>
    </rPh>
    <phoneticPr fontId="1"/>
  </si>
  <si>
    <t>簡単な質問をしてみると以下の通りのトークン数になる</t>
    <rPh sb="0" eb="2">
      <t>カンタン</t>
    </rPh>
    <rPh sb="3" eb="5">
      <t>シツモン</t>
    </rPh>
    <rPh sb="11" eb="13">
      <t>イカ</t>
    </rPh>
    <rPh sb="14" eb="15">
      <t>トオ</t>
    </rPh>
    <rPh sb="21" eb="22">
      <t>スウ</t>
    </rPh>
    <phoneticPr fontId="1"/>
  </si>
  <si>
    <t>ドル</t>
    <phoneticPr fontId="1"/>
  </si>
  <si>
    <t>※1日100回・月.30日とすると↓</t>
    <rPh sb="2" eb="3">
      <t>ニチ</t>
    </rPh>
    <rPh sb="6" eb="7">
      <t>カイ</t>
    </rPh>
    <rPh sb="8" eb="9">
      <t>ツキ</t>
    </rPh>
    <rPh sb="12" eb="13">
      <t>ニチ</t>
    </rPh>
    <phoneticPr fontId="1"/>
  </si>
  <si>
    <t>月*回*円</t>
    <rPh sb="0" eb="1">
      <t>ツキ</t>
    </rPh>
    <rPh sb="2" eb="3">
      <t>カイ</t>
    </rPh>
    <rPh sb="4" eb="5">
      <t>エン</t>
    </rPh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</si>
</sst>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49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H4"/>
  <sheetViews>
    <sheetView tabSelected="1" workbookViewId="0">
      <selection activeCell="B10" sqref="B10"/>
    </sheetView>
  </sheetViews>
  <sheetFormatPr defaultRowHeight="13.5"/>
  <sheetData>
    <row r="2" spans="2:8">
      <c r="H2">
        <v>6</v>
      </c>
    </row>
    <row r="4" spans="2:8">
      <c r="B4" t="s">
        <v>0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3:J12"/>
  <sheetViews>
    <sheetView workbookViewId="0">
      <selection activeCell="A37" sqref="A37:A38"/>
    </sheetView>
  </sheetViews>
  <sheetFormatPr defaultRowHeight="13.5"/>
  <sheetData>
    <row r="3" spans="2:10">
      <c r="B3" t="s">
        <v>19</v>
      </c>
    </row>
    <row r="4" spans="2:10">
      <c r="B4" t="s">
        <v>1</v>
      </c>
      <c r="I4" t="s">
        <v>20</v>
      </c>
    </row>
    <row r="5" spans="2:10">
      <c r="B5" t="s">
        <v>2</v>
      </c>
      <c r="C5" t="s">
        <v>4</v>
      </c>
      <c r="D5" t="s">
        <v>3</v>
      </c>
      <c r="I5" t="s">
        <v>21</v>
      </c>
    </row>
    <row r="6" spans="2:10">
      <c r="B6" s="1" t="s">
        <v>5</v>
      </c>
      <c r="C6" t="s">
        <v>12</v>
      </c>
      <c r="D6">
        <v>1</v>
      </c>
      <c r="I6" t="s">
        <v>22</v>
      </c>
      <c r="J6" t="s">
        <v>26</v>
      </c>
    </row>
    <row r="7" spans="2:10">
      <c r="B7" s="1" t="s">
        <v>6</v>
      </c>
      <c r="C7" t="s">
        <v>13</v>
      </c>
      <c r="D7">
        <v>2</v>
      </c>
      <c r="I7" s="1" t="s">
        <v>23</v>
      </c>
      <c r="J7" t="s">
        <v>27</v>
      </c>
    </row>
    <row r="8" spans="2:10">
      <c r="B8" s="1" t="s">
        <v>7</v>
      </c>
      <c r="C8" t="s">
        <v>14</v>
      </c>
      <c r="D8">
        <v>3</v>
      </c>
      <c r="I8" s="1" t="s">
        <v>24</v>
      </c>
      <c r="J8" t="s">
        <v>28</v>
      </c>
    </row>
    <row r="9" spans="2:10">
      <c r="B9" s="1" t="s">
        <v>8</v>
      </c>
      <c r="C9" t="s">
        <v>15</v>
      </c>
      <c r="D9">
        <v>1</v>
      </c>
      <c r="I9" s="1" t="s">
        <v>25</v>
      </c>
      <c r="J9" t="s">
        <v>29</v>
      </c>
    </row>
    <row r="10" spans="2:10">
      <c r="B10" s="1" t="s">
        <v>9</v>
      </c>
      <c r="C10" t="s">
        <v>16</v>
      </c>
      <c r="D10">
        <v>2</v>
      </c>
      <c r="I10" s="1"/>
    </row>
    <row r="11" spans="2:10">
      <c r="B11" s="1" t="s">
        <v>10</v>
      </c>
      <c r="C11" t="s">
        <v>17</v>
      </c>
      <c r="D11">
        <v>3</v>
      </c>
      <c r="I11" s="1"/>
    </row>
    <row r="12" spans="2:10">
      <c r="B12" s="1" t="s">
        <v>11</v>
      </c>
      <c r="C12" t="s">
        <v>18</v>
      </c>
      <c r="D12">
        <v>1</v>
      </c>
      <c r="I12" s="1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C8:N40"/>
  <sheetViews>
    <sheetView topLeftCell="A22" workbookViewId="0">
      <selection activeCell="G41" sqref="G41"/>
    </sheetView>
  </sheetViews>
  <sheetFormatPr defaultRowHeight="13.5"/>
  <cols>
    <col min="3" max="3" width="24.875" bestFit="1" customWidth="1"/>
    <col min="4" max="5" width="16.875" bestFit="1" customWidth="1"/>
    <col min="6" max="6" width="9.5" bestFit="1" customWidth="1"/>
  </cols>
  <sheetData>
    <row r="8" spans="3:5">
      <c r="C8" t="s">
        <v>37</v>
      </c>
    </row>
    <row r="9" spans="3:5">
      <c r="C9" s="2">
        <v>45276</v>
      </c>
    </row>
    <row r="10" spans="3:5">
      <c r="C10" t="s">
        <v>40</v>
      </c>
    </row>
    <row r="11" spans="3:5">
      <c r="C11" t="s">
        <v>30</v>
      </c>
      <c r="D11" t="s">
        <v>31</v>
      </c>
      <c r="E11" t="s">
        <v>32</v>
      </c>
    </row>
    <row r="12" spans="3:5">
      <c r="C12" t="s">
        <v>33</v>
      </c>
      <c r="D12" t="s">
        <v>47</v>
      </c>
      <c r="E12" t="s">
        <v>52</v>
      </c>
    </row>
    <row r="13" spans="3:5">
      <c r="C13" t="s">
        <v>36</v>
      </c>
      <c r="D13" t="s">
        <v>34</v>
      </c>
      <c r="E13" t="s">
        <v>35</v>
      </c>
    </row>
    <row r="15" spans="3:5">
      <c r="C15" t="s">
        <v>41</v>
      </c>
    </row>
    <row r="16" spans="3:5">
      <c r="C16" t="s">
        <v>30</v>
      </c>
      <c r="D16" t="s">
        <v>31</v>
      </c>
      <c r="E16" t="s">
        <v>32</v>
      </c>
    </row>
    <row r="17" spans="3:14">
      <c r="C17" t="s">
        <v>42</v>
      </c>
      <c r="D17" t="s">
        <v>43</v>
      </c>
      <c r="E17" t="s">
        <v>44</v>
      </c>
    </row>
    <row r="18" spans="3:14">
      <c r="C18" t="s">
        <v>45</v>
      </c>
      <c r="D18" t="s">
        <v>46</v>
      </c>
      <c r="E18" t="s">
        <v>44</v>
      </c>
    </row>
    <row r="23" spans="3:14">
      <c r="C23">
        <v>231216</v>
      </c>
    </row>
    <row r="24" spans="3:14">
      <c r="C24" t="s">
        <v>50</v>
      </c>
      <c r="D24" s="3">
        <v>142</v>
      </c>
      <c r="E24" t="s">
        <v>51</v>
      </c>
    </row>
    <row r="26" spans="3:14">
      <c r="M26" t="s">
        <v>57</v>
      </c>
      <c r="N26" t="s">
        <v>51</v>
      </c>
    </row>
    <row r="27" spans="3:14">
      <c r="C27" t="s">
        <v>38</v>
      </c>
      <c r="M27" s="3">
        <v>0.02</v>
      </c>
      <c r="N27">
        <f>M27*$D$24</f>
        <v>2.84</v>
      </c>
    </row>
    <row r="28" spans="3:14">
      <c r="C28" t="s">
        <v>55</v>
      </c>
    </row>
    <row r="30" spans="3:14">
      <c r="C30" t="s">
        <v>56</v>
      </c>
      <c r="H30" t="s">
        <v>58</v>
      </c>
    </row>
    <row r="31" spans="3:14">
      <c r="C31" t="s">
        <v>39</v>
      </c>
      <c r="H31" s="3">
        <v>3000</v>
      </c>
    </row>
    <row r="32" spans="3:14">
      <c r="C32" t="s">
        <v>49</v>
      </c>
      <c r="D32" t="s">
        <v>48</v>
      </c>
      <c r="E32" t="s">
        <v>53</v>
      </c>
      <c r="F32" t="s">
        <v>54</v>
      </c>
      <c r="G32" t="s">
        <v>51</v>
      </c>
      <c r="H32" t="s">
        <v>59</v>
      </c>
    </row>
    <row r="33" spans="3:8">
      <c r="C33" s="3">
        <v>34</v>
      </c>
      <c r="D33">
        <f>C33/1000</f>
        <v>3.4000000000000002E-2</v>
      </c>
      <c r="E33" s="3">
        <v>0.01</v>
      </c>
      <c r="F33">
        <f>D33*E33</f>
        <v>3.4000000000000002E-4</v>
      </c>
    </row>
    <row r="34" spans="3:8">
      <c r="C34" s="3">
        <v>574</v>
      </c>
      <c r="D34">
        <f>C34/1000</f>
        <v>0.57399999999999995</v>
      </c>
      <c r="E34" s="3">
        <v>0.03</v>
      </c>
      <c r="F34">
        <f>D34*E34</f>
        <v>1.7219999999999999E-2</v>
      </c>
    </row>
    <row r="35" spans="3:8">
      <c r="F35">
        <f>SUM(F33:F34)</f>
        <v>1.7559999999999999E-2</v>
      </c>
      <c r="G35">
        <f>F35*$D$24</f>
        <v>2.4935199999999997</v>
      </c>
      <c r="H35">
        <f>G35*$H$31</f>
        <v>7480.5599999999995</v>
      </c>
    </row>
    <row r="37" spans="3:8">
      <c r="C37" t="s">
        <v>41</v>
      </c>
    </row>
    <row r="38" spans="3:8">
      <c r="C38" s="3">
        <v>34</v>
      </c>
      <c r="D38">
        <f>C38/1000</f>
        <v>3.4000000000000002E-2</v>
      </c>
      <c r="E38" s="3">
        <v>1E-3</v>
      </c>
      <c r="F38">
        <f>D38*E38</f>
        <v>3.4000000000000007E-5</v>
      </c>
    </row>
    <row r="39" spans="3:8">
      <c r="C39" s="3">
        <v>574</v>
      </c>
      <c r="D39">
        <f>C39/1000</f>
        <v>0.57399999999999995</v>
      </c>
      <c r="E39" s="3">
        <v>2E-3</v>
      </c>
      <c r="F39">
        <f>D39*E39</f>
        <v>1.1479999999999999E-3</v>
      </c>
    </row>
    <row r="40" spans="3:8">
      <c r="F40">
        <f>SUM(F38:F39)</f>
        <v>1.1819999999999999E-3</v>
      </c>
      <c r="G40">
        <f>F40*$D$24</f>
        <v>0.16784399999999999</v>
      </c>
      <c r="H40">
        <f>G40*$H$31</f>
        <v>503.53199999999998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TestData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</dc:creator>
  <cp:lastModifiedBy>Windows ユーザー</cp:lastModifiedBy>
  <dcterms:created xsi:type="dcterms:W3CDTF">2006-09-13T11:12:02Z</dcterms:created>
  <dcterms:modified xsi:type="dcterms:W3CDTF">2023-12-22T21:45:01Z</dcterms:modified>
</cp:coreProperties>
</file>